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per\OneDrive\Desktop\"/>
    </mc:Choice>
  </mc:AlternateContent>
  <xr:revisionPtr revIDLastSave="0" documentId="13_ncr:1_{B89D5758-287A-43A2-984B-80B0F75D080F}" xr6:coauthVersionLast="47" xr6:coauthVersionMax="47" xr10:uidLastSave="{00000000-0000-0000-0000-000000000000}"/>
  <bookViews>
    <workbookView xWindow="-120" yWindow="-120" windowWidth="20730" windowHeight="11040" activeTab="1" xr2:uid="{66C34831-C2C7-4E25-897E-E61FEAFB3B2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N4" i="2" s="1"/>
  <c r="O4" i="2" s="1"/>
  <c r="L4" i="2"/>
  <c r="M4" i="2" s="1"/>
  <c r="P4" i="2" s="1"/>
  <c r="S4" i="2" s="1"/>
  <c r="R4" i="2"/>
  <c r="I3" i="2"/>
  <c r="N3" i="2" s="1"/>
  <c r="O3" i="2" s="1"/>
  <c r="L3" i="2"/>
  <c r="M3" i="2" s="1"/>
  <c r="R3" i="2"/>
  <c r="R2" i="2"/>
  <c r="L2" i="2"/>
  <c r="M2" i="2" s="1"/>
  <c r="P2" i="2" s="1"/>
  <c r="S2" i="2" s="1"/>
  <c r="I2" i="2"/>
  <c r="N2" i="2" s="1"/>
  <c r="O2" i="2" s="1"/>
  <c r="C7" i="1"/>
  <c r="C8" i="1"/>
  <c r="C6" i="1"/>
  <c r="I2" i="1"/>
  <c r="I3" i="1"/>
  <c r="D7" i="1"/>
  <c r="D8" i="1"/>
  <c r="D6" i="1"/>
  <c r="Q4" i="2" l="1"/>
  <c r="T4" i="2" s="1"/>
  <c r="U4" i="2" s="1"/>
  <c r="Q3" i="2"/>
  <c r="T3" i="2" s="1"/>
  <c r="P3" i="2"/>
  <c r="S3" i="2" s="1"/>
  <c r="Q2" i="2"/>
  <c r="T2" i="2" s="1"/>
  <c r="U2" i="2" s="1"/>
  <c r="U3" i="2" l="1"/>
  <c r="U5" i="2" l="1"/>
  <c r="V2" i="2" l="1"/>
  <c r="V4" i="2"/>
  <c r="V3" i="2"/>
  <c r="V5" i="2" l="1"/>
</calcChain>
</file>

<file path=xl/sharedStrings.xml><?xml version="1.0" encoding="utf-8"?>
<sst xmlns="http://schemas.openxmlformats.org/spreadsheetml/2006/main" count="40" uniqueCount="39">
  <si>
    <t>JAN</t>
  </si>
  <si>
    <t>FEV</t>
  </si>
  <si>
    <t>MAR</t>
  </si>
  <si>
    <t>ABR</t>
  </si>
  <si>
    <t>MAI</t>
  </si>
  <si>
    <t>JUN</t>
  </si>
  <si>
    <t>PROD</t>
  </si>
  <si>
    <t>XYZ</t>
  </si>
  <si>
    <t>DESVIO PADRÃO</t>
  </si>
  <si>
    <t>Nível de confiança</t>
  </si>
  <si>
    <t>Z</t>
  </si>
  <si>
    <t>A</t>
  </si>
  <si>
    <t>C</t>
  </si>
  <si>
    <t>B</t>
  </si>
  <si>
    <t>COD SKU</t>
  </si>
  <si>
    <t>SKU</t>
  </si>
  <si>
    <t>D</t>
  </si>
  <si>
    <t>i</t>
  </si>
  <si>
    <t>preço</t>
  </si>
  <si>
    <t>N. Serviço</t>
  </si>
  <si>
    <t>z</t>
  </si>
  <si>
    <t>L</t>
  </si>
  <si>
    <t>S</t>
  </si>
  <si>
    <t>σ</t>
  </si>
  <si>
    <t>d2</t>
  </si>
  <si>
    <t>X</t>
  </si>
  <si>
    <t>Custo de Manter (H)</t>
  </si>
  <si>
    <t>LEC</t>
  </si>
  <si>
    <t>SS</t>
  </si>
  <si>
    <t>ROP</t>
  </si>
  <si>
    <t>n</t>
  </si>
  <si>
    <t>EM</t>
  </si>
  <si>
    <t>$ Aq</t>
  </si>
  <si>
    <t>$ Pedir</t>
  </si>
  <si>
    <t>$ Manter</t>
  </si>
  <si>
    <t>$Total</t>
  </si>
  <si>
    <t>Y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</si>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</sst>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\ \u"/>
    <numFmt numFmtId="165" formatCode="0\ \p"/>
    <numFmt numFmtId="167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Font="1" applyAlignment="1">
      <alignment horizontal="center"/>
    </xf>
    <xf numFmtId="167" fontId="0" fillId="0" borderId="0" xfId="2" applyNumberFormat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6">
    <dxf>
      <numFmt numFmtId="167" formatCode="0.0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\ \u"/>
      <alignment horizontal="center" vertical="bottom" textRotation="0" wrapText="0" indent="0" justifyLastLine="0" shrinkToFit="0" readingOrder="0"/>
    </dxf>
    <dxf>
      <numFmt numFmtId="165" formatCode="0\ \p"/>
      <alignment horizontal="center" vertical="bottom" textRotation="0" wrapText="0" indent="0" justifyLastLine="0" shrinkToFit="0" readingOrder="0"/>
    </dxf>
    <dxf>
      <numFmt numFmtId="164" formatCode="0\ \u"/>
      <alignment horizontal="center" vertical="bottom" textRotation="0" wrapText="0" indent="0" justifyLastLine="0" shrinkToFit="0" readingOrder="0"/>
    </dxf>
    <dxf>
      <numFmt numFmtId="164" formatCode="0\ \u"/>
      <alignment horizontal="center" vertical="bottom" textRotation="0" wrapText="0" indent="0" justifyLastLine="0" shrinkToFit="0" readingOrder="0"/>
    </dxf>
    <dxf>
      <numFmt numFmtId="164" formatCode="0\ \u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BBCED-0A12-40E0-AC72-771E3D061AE4}" name="Tabela1" displayName="Tabela1" ref="A1:V5" totalsRowCount="1" headerRowDxfId="34" dataDxfId="33">
  <autoFilter ref="A1:V4" xr:uid="{FA5BBCED-0A12-40E0-AC72-771E3D061AE4}"/>
  <tableColumns count="22">
    <tableColumn id="1" xr3:uid="{F4786AC7-B649-4FCD-A549-2EF7E2734352}" name="COD SKU" totalsRowLabel="Total" dataDxfId="45" totalsRowDxfId="23"/>
    <tableColumn id="2" xr3:uid="{9C4C1524-03B7-49D3-B4DA-4CAF34571FF3}" name="SKU" dataDxfId="44" totalsRowDxfId="22"/>
    <tableColumn id="3" xr3:uid="{A521B270-ED4C-409E-AAD9-058BFE4DFAEE}" name="D" dataDxfId="43" totalsRowDxfId="21"/>
    <tableColumn id="4" xr3:uid="{2B243C06-7393-4FF1-A366-2301568C9797}" name="d2" dataDxfId="42" totalsRowDxfId="20"/>
    <tableColumn id="5" xr3:uid="{8337ED06-F09B-4505-AF9B-CBCD9C94B9E8}" name="S" dataDxfId="41" totalsRowDxfId="19"/>
    <tableColumn id="6" xr3:uid="{9312C96E-A4CB-4545-A284-6640BA2106A7}" name="i" dataDxfId="40" totalsRowDxfId="18"/>
    <tableColumn id="7" xr3:uid="{476002DC-9DE1-4018-B9FF-2BC225E8DF62}" name="preço" dataDxfId="39" totalsRowDxfId="17"/>
    <tableColumn id="8" xr3:uid="{ACF9452C-9944-45D0-93C6-8263E19464EF}" name="N. Serviço" dataDxfId="38" totalsRowDxfId="16"/>
    <tableColumn id="9" xr3:uid="{01B0E0F3-A276-4452-B815-4653DB1E59E8}" name="z" dataDxfId="37" totalsRowDxfId="15">
      <calculatedColumnFormula>_xlfn.NORM.S.INV(Tabela1[[#This Row],[N. Serviço]])</calculatedColumnFormula>
    </tableColumn>
    <tableColumn id="10" xr3:uid="{0D6DE5B5-420D-4BC7-A9B3-0ED470706F45}" name="L" dataDxfId="36" totalsRowDxfId="14"/>
    <tableColumn id="11" xr3:uid="{FDE3F52F-D5A7-46DA-8669-79CF3779E926}" name="σ" dataDxfId="35" totalsRowDxfId="13"/>
    <tableColumn id="12" xr3:uid="{7CBFAB86-615C-4F23-BD25-285062750BCE}" name="Custo de Manter (H)" dataDxfId="32" totalsRowDxfId="12" dataCellStyle="Moeda">
      <calculatedColumnFormula>Tabela1[[#This Row],[preço]]*Tabela1[[#This Row],[i]]</calculatedColumnFormula>
    </tableColumn>
    <tableColumn id="13" xr3:uid="{2E8BFEC7-2DD5-428D-96FC-50A634E54880}" name="LEC" dataDxfId="31" totalsRowDxfId="11">
      <calculatedColumnFormula>INT(SQRT((2*Tabela1[[#This Row],[D]]*Tabela1[[#This Row],[S]])/Tabela1[[#This Row],[Custo de Manter (H)]]))</calculatedColumnFormula>
    </tableColumn>
    <tableColumn id="14" xr3:uid="{484851EB-3BE4-4C5F-A463-18BA37B342DA}" name="SS" dataDxfId="30" totalsRowDxfId="10">
      <calculatedColumnFormula>INT(Tabela1[[#This Row],[z]]*Tabela1[[#This Row],[σ]]*SQRT(Tabela1[[#This Row],[L]]))</calculatedColumnFormula>
    </tableColumn>
    <tableColumn id="15" xr3:uid="{6D2635D8-21CB-42A4-826F-131FD39DBB9C}" name="ROP" dataDxfId="29" totalsRowDxfId="9">
      <calculatedColumnFormula>(Tabela1[[#This Row],[d2]]*Tabela1[[#This Row],[L]])+Tabela1[[#This Row],[SS]]</calculatedColumnFormula>
    </tableColumn>
    <tableColumn id="16" xr3:uid="{2A57BA32-BCE7-44F0-A62A-79B4855E07CF}" name="n" dataDxfId="28" totalsRowDxfId="8">
      <calculatedColumnFormula>ROUNDUP(Tabela1[[#This Row],[D]]/Tabela1[[#This Row],[LEC]],0)</calculatedColumnFormula>
    </tableColumn>
    <tableColumn id="17" xr3:uid="{B821A547-7C20-4FBC-87E3-79E3671C0B3E}" name="EM" dataDxfId="27" totalsRowDxfId="7">
      <calculatedColumnFormula>(Tabela1[[#This Row],[LEC]]/2)+Tabela1[[#This Row],[SS]]</calculatedColumnFormula>
    </tableColumn>
    <tableColumn id="18" xr3:uid="{98027552-9071-4FF4-B263-0BC4CE5024DE}" name="$ Aq" dataDxfId="26" totalsRowDxfId="6" dataCellStyle="Moeda">
      <calculatedColumnFormula>Tabela1[[#This Row],[D]]*Tabela1[[#This Row],[preço]]</calculatedColumnFormula>
    </tableColumn>
    <tableColumn id="19" xr3:uid="{54AB2A6A-F2AB-412C-B6A7-C510DDC37E71}" name="$ Pedir" dataDxfId="25" totalsRowDxfId="5" dataCellStyle="Moeda">
      <calculatedColumnFormula>Tabela1[[#This Row],[n]]*Tabela1[[#This Row],[S]]</calculatedColumnFormula>
    </tableColumn>
    <tableColumn id="20" xr3:uid="{1DCDA866-A20B-476F-8C23-88BEC08F15AD}" name="$ Manter" dataDxfId="24" totalsRowDxfId="4" dataCellStyle="Moeda">
      <calculatedColumnFormula>Tabela1[[#This Row],[EM]]*Tabela1[[#This Row],[Custo de Manter (H)]]</calculatedColumnFormula>
    </tableColumn>
    <tableColumn id="21" xr3:uid="{C0344BF3-16AB-467E-BBB3-A745FF821CCE}" name="$Total" totalsRowFunction="sum" dataDxfId="1" totalsRowDxfId="3" dataCellStyle="Moeda">
      <calculatedColumnFormula>SUM(Tabela1[[#This Row],[$ Aq]:[$ Manter]])</calculatedColumnFormula>
    </tableColumn>
    <tableColumn id="22" xr3:uid="{7B3AF487-CF9E-428C-B34A-A6584B6B357E}" name="%" totalsRowFunction="sum" dataDxfId="0" totalsRowDxfId="2" dataCellStyle="Porcentagem">
      <calculatedColumnFormula>Tabela1[[#This Row],[$Total]]/Tabela1[[#Totals],[$Total]]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0DDB-6602-4C88-8470-0D736DC13708}">
  <dimension ref="A1:I8"/>
  <sheetViews>
    <sheetView zoomScale="160" zoomScaleNormal="160" workbookViewId="0">
      <selection activeCell="B6" sqref="B6"/>
    </sheetView>
  </sheetViews>
  <sheetFormatPr defaultRowHeight="15" x14ac:dyDescent="0.25"/>
  <cols>
    <col min="2" max="2" width="21" customWidth="1"/>
    <col min="3" max="3" width="13.140625" customWidth="1"/>
    <col min="4" max="4" width="20.28515625" customWidth="1"/>
    <col min="9" max="9" width="18.85546875" customWidth="1"/>
  </cols>
  <sheetData>
    <row r="1" spans="1:9" x14ac:dyDescent="0.25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8</v>
      </c>
    </row>
    <row r="2" spans="1:9" x14ac:dyDescent="0.25">
      <c r="A2" t="s">
        <v>7</v>
      </c>
      <c r="B2" s="1">
        <v>100</v>
      </c>
      <c r="C2" s="1">
        <v>80</v>
      </c>
      <c r="D2" s="1">
        <v>120</v>
      </c>
      <c r="E2" s="1">
        <v>130</v>
      </c>
      <c r="F2" s="1">
        <v>95</v>
      </c>
      <c r="G2" s="1">
        <v>70</v>
      </c>
      <c r="I2" s="1">
        <f>INT(_xlfn.STDEV.P(B2:G2))</f>
        <v>20</v>
      </c>
    </row>
    <row r="3" spans="1:9" x14ac:dyDescent="0.25">
      <c r="I3" t="str">
        <f ca="1">_xlfn.FORMULATEXT(I2)</f>
        <v>=INT(DESVPAD.P(B2:G2))</v>
      </c>
    </row>
    <row r="5" spans="1:9" x14ac:dyDescent="0.25">
      <c r="B5" s="6" t="s">
        <v>9</v>
      </c>
      <c r="C5" s="6" t="s">
        <v>10</v>
      </c>
    </row>
    <row r="6" spans="1:9" x14ac:dyDescent="0.25">
      <c r="A6" t="s">
        <v>11</v>
      </c>
      <c r="B6" s="7">
        <v>0.95</v>
      </c>
      <c r="C6" s="5">
        <f>_xlfn.NORM.S.INV(B6)</f>
        <v>1.6448536269514715</v>
      </c>
      <c r="D6" t="str">
        <f ca="1">_xlfn.FORMULATEXT(C6)</f>
        <v>=INV.NORMP.N(B6)</v>
      </c>
    </row>
    <row r="7" spans="1:9" x14ac:dyDescent="0.25">
      <c r="A7" t="s">
        <v>13</v>
      </c>
      <c r="B7" s="8">
        <v>0.97</v>
      </c>
      <c r="C7" s="5">
        <f t="shared" ref="C7:C8" si="0">_xlfn.NORM.S.INV(B7)</f>
        <v>1.8807936081512504</v>
      </c>
      <c r="D7" t="str">
        <f t="shared" ref="D7:D8" ca="1" si="1">_xlfn.FORMULATEXT(C7)</f>
        <v>=INV.NORMP.N(B7)</v>
      </c>
    </row>
    <row r="8" spans="1:9" x14ac:dyDescent="0.25">
      <c r="A8" t="s">
        <v>12</v>
      </c>
      <c r="B8" s="7">
        <v>0.98</v>
      </c>
      <c r="C8" s="5">
        <f t="shared" si="0"/>
        <v>2.0537489106318221</v>
      </c>
      <c r="D8" t="str">
        <f t="shared" ca="1" si="1"/>
        <v>=INV.NORMP.N(B8)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CA9D-16CF-47F3-8AD6-93EABFF86FDC}">
  <dimension ref="A1:V5"/>
  <sheetViews>
    <sheetView tabSelected="1" zoomScale="150" zoomScaleNormal="150" workbookViewId="0">
      <pane xSplit="1" topLeftCell="B1" activePane="topRight" state="frozen"/>
      <selection pane="topRight" activeCell="X12" sqref="X12"/>
    </sheetView>
  </sheetViews>
  <sheetFormatPr defaultRowHeight="15" x14ac:dyDescent="0.25"/>
  <cols>
    <col min="1" max="1" width="10.140625" customWidth="1"/>
    <col min="8" max="8" width="10.85546875" customWidth="1"/>
    <col min="9" max="9" width="11.28515625" customWidth="1"/>
    <col min="12" max="12" width="19.7109375" customWidth="1"/>
    <col min="13" max="14" width="14.28515625" customWidth="1"/>
    <col min="15" max="15" width="12" customWidth="1"/>
    <col min="16" max="16" width="12.140625" customWidth="1"/>
    <col min="17" max="17" width="15.28515625" customWidth="1"/>
    <col min="18" max="18" width="14.42578125" bestFit="1" customWidth="1"/>
    <col min="19" max="19" width="15.7109375" customWidth="1"/>
    <col min="20" max="20" width="14.42578125" customWidth="1"/>
    <col min="21" max="21" width="20.42578125" customWidth="1"/>
  </cols>
  <sheetData>
    <row r="1" spans="1:22" x14ac:dyDescent="0.25">
      <c r="A1" s="1" t="s">
        <v>14</v>
      </c>
      <c r="B1" s="1" t="s">
        <v>15</v>
      </c>
      <c r="C1" s="1" t="s">
        <v>16</v>
      </c>
      <c r="D1" s="1" t="s">
        <v>24</v>
      </c>
      <c r="E1" s="1" t="s">
        <v>22</v>
      </c>
      <c r="F1" s="1" t="s">
        <v>17</v>
      </c>
      <c r="G1" s="1" t="s">
        <v>18</v>
      </c>
      <c r="H1" s="1" t="s">
        <v>19</v>
      </c>
      <c r="I1" s="9" t="s">
        <v>20</v>
      </c>
      <c r="J1" s="1" t="s">
        <v>21</v>
      </c>
      <c r="K1" s="1" t="s">
        <v>23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" t="s">
        <v>38</v>
      </c>
    </row>
    <row r="2" spans="1:22" x14ac:dyDescent="0.25">
      <c r="A2" s="1">
        <v>123</v>
      </c>
      <c r="B2" s="1" t="s">
        <v>25</v>
      </c>
      <c r="C2" s="1">
        <v>75000</v>
      </c>
      <c r="D2" s="1">
        <v>250</v>
      </c>
      <c r="E2" s="1">
        <v>200</v>
      </c>
      <c r="F2" s="4">
        <v>0.18</v>
      </c>
      <c r="G2" s="1">
        <v>1.5</v>
      </c>
      <c r="H2" s="4">
        <v>0.97</v>
      </c>
      <c r="I2" s="1">
        <f>_xlfn.NORM.S.INV(Tabela1[[#This Row],[N. Serviço]])</f>
        <v>1.8807936081512504</v>
      </c>
      <c r="J2" s="1">
        <v>5</v>
      </c>
      <c r="K2" s="1">
        <v>60</v>
      </c>
      <c r="L2" s="3">
        <f>Tabela1[[#This Row],[preço]]*Tabela1[[#This Row],[i]]</f>
        <v>0.27</v>
      </c>
      <c r="M2" s="11">
        <f>INT(SQRT((2*Tabela1[[#This Row],[D]]*Tabela1[[#This Row],[S]])/Tabela1[[#This Row],[Custo de Manter (H)]]))</f>
        <v>10540</v>
      </c>
      <c r="N2" s="11">
        <f>INT(Tabela1[[#This Row],[z]]*Tabela1[[#This Row],[σ]]*SQRT(Tabela1[[#This Row],[L]]))</f>
        <v>252</v>
      </c>
      <c r="O2" s="11">
        <f>(Tabela1[[#This Row],[d2]]*Tabela1[[#This Row],[L]])+Tabela1[[#This Row],[SS]]</f>
        <v>1502</v>
      </c>
      <c r="P2" s="12">
        <f>ROUNDUP(Tabela1[[#This Row],[D]]/Tabela1[[#This Row],[LEC]],0)</f>
        <v>8</v>
      </c>
      <c r="Q2" s="11">
        <f>(Tabela1[[#This Row],[LEC]]/2)+Tabela1[[#This Row],[SS]]</f>
        <v>5522</v>
      </c>
      <c r="R2" s="3">
        <f>Tabela1[[#This Row],[D]]*Tabela1[[#This Row],[preço]]</f>
        <v>112500</v>
      </c>
      <c r="S2" s="3">
        <f>Tabela1[[#This Row],[n]]*Tabela1[[#This Row],[S]]</f>
        <v>1600</v>
      </c>
      <c r="T2" s="3">
        <f>Tabela1[[#This Row],[EM]]*Tabela1[[#This Row],[Custo de Manter (H)]]</f>
        <v>1490.94</v>
      </c>
      <c r="U2" s="3">
        <f>SUM(Tabela1[[#This Row],[$ Aq]:[$ Manter]])</f>
        <v>115590.94</v>
      </c>
      <c r="V2" s="16">
        <f>Tabela1[[#This Row],[$Total]]/Tabela1[[#Totals],[$Total]]</f>
        <v>0.61638528219467426</v>
      </c>
    </row>
    <row r="3" spans="1:22" x14ac:dyDescent="0.25">
      <c r="A3" s="1">
        <v>456</v>
      </c>
      <c r="B3" s="1" t="s">
        <v>36</v>
      </c>
      <c r="C3" s="1">
        <v>80000</v>
      </c>
      <c r="D3" s="1">
        <v>120</v>
      </c>
      <c r="E3" s="1">
        <v>60</v>
      </c>
      <c r="F3" s="4">
        <v>0.18</v>
      </c>
      <c r="G3" s="1">
        <v>0.25</v>
      </c>
      <c r="H3" s="4">
        <v>0.95</v>
      </c>
      <c r="I3" s="1">
        <f>_xlfn.NORM.S.INV(Tabela1[[#This Row],[N. Serviço]])</f>
        <v>1.6448536269514715</v>
      </c>
      <c r="J3" s="1">
        <v>2</v>
      </c>
      <c r="K3" s="1">
        <v>40</v>
      </c>
      <c r="L3" s="3">
        <f>Tabela1[[#This Row],[preço]]*Tabela1[[#This Row],[i]]</f>
        <v>4.4999999999999998E-2</v>
      </c>
      <c r="M3" s="11">
        <f>INT(SQRT((2*Tabela1[[#This Row],[D]]*Tabela1[[#This Row],[S]])/Tabela1[[#This Row],[Custo de Manter (H)]]))</f>
        <v>14605</v>
      </c>
      <c r="N3" s="11">
        <f>INT(Tabela1[[#This Row],[z]]*Tabela1[[#This Row],[σ]]*SQRT(Tabela1[[#This Row],[L]]))</f>
        <v>93</v>
      </c>
      <c r="O3" s="11">
        <f>(Tabela1[[#This Row],[d2]]*Tabela1[[#This Row],[L]])+Tabela1[[#This Row],[SS]]</f>
        <v>333</v>
      </c>
      <c r="P3" s="12">
        <f>ROUNDUP(Tabela1[[#This Row],[D]]/Tabela1[[#This Row],[LEC]],0)</f>
        <v>6</v>
      </c>
      <c r="Q3" s="11">
        <f>(Tabela1[[#This Row],[LEC]]/2)+Tabela1[[#This Row],[SS]]</f>
        <v>7395.5</v>
      </c>
      <c r="R3" s="3">
        <f>Tabela1[[#This Row],[D]]*Tabela1[[#This Row],[preço]]</f>
        <v>20000</v>
      </c>
      <c r="S3" s="3">
        <f>Tabela1[[#This Row],[n]]*Tabela1[[#This Row],[S]]</f>
        <v>360</v>
      </c>
      <c r="T3" s="3">
        <f>Tabela1[[#This Row],[EM]]*Tabela1[[#This Row],[Custo de Manter (H)]]</f>
        <v>332.79750000000001</v>
      </c>
      <c r="U3" s="3">
        <f>SUM(Tabela1[[#This Row],[$ Aq]:[$ Manter]])</f>
        <v>20692.797500000001</v>
      </c>
      <c r="V3" s="16">
        <f>Tabela1[[#This Row],[$Total]]/Tabela1[[#Totals],[$Total]]</f>
        <v>0.11034373305065907</v>
      </c>
    </row>
    <row r="4" spans="1:22" x14ac:dyDescent="0.25">
      <c r="A4" s="1">
        <v>789</v>
      </c>
      <c r="B4" s="1" t="s">
        <v>10</v>
      </c>
      <c r="C4" s="1">
        <v>20000</v>
      </c>
      <c r="D4" s="1">
        <v>20</v>
      </c>
      <c r="E4" s="1">
        <v>80</v>
      </c>
      <c r="F4" s="4">
        <v>0.18</v>
      </c>
      <c r="G4" s="1">
        <v>2.5</v>
      </c>
      <c r="H4" s="4">
        <v>0.96</v>
      </c>
      <c r="I4" s="1">
        <f>_xlfn.NORM.S.INV(Tabela1[[#This Row],[N. Serviço]])</f>
        <v>1.7506860712521695</v>
      </c>
      <c r="J4" s="1">
        <v>3</v>
      </c>
      <c r="K4" s="1">
        <v>5</v>
      </c>
      <c r="L4" s="3">
        <f>Tabela1[[#This Row],[preço]]*Tabela1[[#This Row],[i]]</f>
        <v>0.44999999999999996</v>
      </c>
      <c r="M4" s="11">
        <f>INT(SQRT((2*Tabela1[[#This Row],[D]]*Tabela1[[#This Row],[S]])/Tabela1[[#This Row],[Custo de Manter (H)]]))</f>
        <v>2666</v>
      </c>
      <c r="N4" s="11">
        <f>INT(Tabela1[[#This Row],[z]]*Tabela1[[#This Row],[σ]]*SQRT(Tabela1[[#This Row],[L]]))</f>
        <v>15</v>
      </c>
      <c r="O4" s="11">
        <f>(Tabela1[[#This Row],[d2]]*Tabela1[[#This Row],[L]])+Tabela1[[#This Row],[SS]]</f>
        <v>75</v>
      </c>
      <c r="P4" s="12">
        <f>ROUNDUP(Tabela1[[#This Row],[D]]/Tabela1[[#This Row],[LEC]],0)</f>
        <v>8</v>
      </c>
      <c r="Q4" s="11">
        <f>(Tabela1[[#This Row],[LEC]]/2)+Tabela1[[#This Row],[SS]]</f>
        <v>1348</v>
      </c>
      <c r="R4" s="3">
        <f>Tabela1[[#This Row],[D]]*Tabela1[[#This Row],[preço]]</f>
        <v>50000</v>
      </c>
      <c r="S4" s="3">
        <f>Tabela1[[#This Row],[n]]*Tabela1[[#This Row],[S]]</f>
        <v>640</v>
      </c>
      <c r="T4" s="3">
        <f>Tabela1[[#This Row],[EM]]*Tabela1[[#This Row],[Custo de Manter (H)]]</f>
        <v>606.59999999999991</v>
      </c>
      <c r="U4" s="3">
        <f>SUM(Tabela1[[#This Row],[$ Aq]:[$ Manter]])</f>
        <v>51246.6</v>
      </c>
      <c r="V4" s="16">
        <f>Tabela1[[#This Row],[$Total]]/Tabela1[[#Totals],[$Total]]</f>
        <v>0.27327098475466671</v>
      </c>
    </row>
    <row r="5" spans="1:22" x14ac:dyDescent="0.25">
      <c r="A5" s="1" t="s">
        <v>37</v>
      </c>
      <c r="B5" s="1"/>
      <c r="C5" s="1"/>
      <c r="D5" s="1"/>
      <c r="E5" s="1"/>
      <c r="F5" s="1"/>
      <c r="G5" s="1"/>
      <c r="H5" s="1"/>
      <c r="I5" s="1"/>
      <c r="J5" s="1"/>
      <c r="K5" s="1"/>
      <c r="L5" s="14"/>
      <c r="M5" s="1"/>
      <c r="N5" s="1"/>
      <c r="O5" s="1"/>
      <c r="P5" s="1"/>
      <c r="Q5" s="1"/>
      <c r="R5" s="14"/>
      <c r="S5" s="14"/>
      <c r="T5" s="14"/>
      <c r="U5" s="13">
        <f>SUBTOTAL(109,Tabela1[$Total])</f>
        <v>187530.33749999999</v>
      </c>
      <c r="V5" s="15">
        <f>SUBTOTAL(109,Tabela1[%])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Pereira</dc:creator>
  <cp:lastModifiedBy>Leandro Pereira</cp:lastModifiedBy>
  <dcterms:created xsi:type="dcterms:W3CDTF">2025-11-04T22:21:19Z</dcterms:created>
  <dcterms:modified xsi:type="dcterms:W3CDTF">2025-11-05T00:03:35Z</dcterms:modified>
</cp:coreProperties>
</file>