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per\OneDrive\Desktop\"/>
    </mc:Choice>
  </mc:AlternateContent>
  <xr:revisionPtr revIDLastSave="0" documentId="8_{8548F135-3DBF-416A-B313-37427B35F2B9}" xr6:coauthVersionLast="47" xr6:coauthVersionMax="47" xr10:uidLastSave="{00000000-0000-0000-0000-000000000000}"/>
  <bookViews>
    <workbookView xWindow="-120" yWindow="-120" windowWidth="20730" windowHeight="11040" xr2:uid="{D07C5F8A-9908-4106-9B7E-A98BDDD457D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6" i="1"/>
  <c r="D4" i="1"/>
  <c r="B34" i="1"/>
  <c r="B32" i="1"/>
  <c r="B30" i="1"/>
  <c r="B28" i="1"/>
  <c r="B24" i="1"/>
  <c r="B21" i="1"/>
  <c r="B16" i="1"/>
  <c r="B13" i="1"/>
  <c r="B9" i="1"/>
</calcChain>
</file>

<file path=xl/sharedStrings.xml><?xml version="1.0" encoding="utf-8"?>
<sst xmlns="http://schemas.openxmlformats.org/spreadsheetml/2006/main" count="48" uniqueCount="40">
  <si>
    <t>A) Informações Gerais (dados sobre o equipamento e sua operação)</t>
  </si>
  <si>
    <t>Vida util considerada para a Empilhadeira [anos]</t>
  </si>
  <si>
    <t>Vida util [horas]</t>
  </si>
  <si>
    <t>dados coletados (empresa)</t>
  </si>
  <si>
    <t>Taxa básica de juros - SELIC [%aa]</t>
  </si>
  <si>
    <t>Tempo médio de operação diária [horas produtivas]</t>
  </si>
  <si>
    <t>Número de dias úteis no ano [dias/ano]</t>
  </si>
  <si>
    <t>B) Financeiro (Aquisição)</t>
  </si>
  <si>
    <t>Depreciação do equipamento (contabilidade gerencial)</t>
  </si>
  <si>
    <t>Valor de aquisição [R$]</t>
  </si>
  <si>
    <t>Valor residual [R$]</t>
  </si>
  <si>
    <t>Eventuais gastos com descarte da empilhadeira [R$]</t>
  </si>
  <si>
    <t>Custo de oportunidade do capital imobilizado [R$/hora]</t>
  </si>
  <si>
    <t>/hora</t>
  </si>
  <si>
    <t>C) Custos diretos (operação)</t>
  </si>
  <si>
    <t>Gastos com pneus</t>
  </si>
  <si>
    <t>Custo de aquisição de 1 pneu novo</t>
  </si>
  <si>
    <t xml:space="preserve">Número de pneus necessários </t>
  </si>
  <si>
    <t>Tempo de vida util do pneu [horas]</t>
  </si>
  <si>
    <t>Custo de operação (em 1 hora)</t>
  </si>
  <si>
    <t>Gasto com combustivel [R$/hora]</t>
  </si>
  <si>
    <t>Gasto médio com combustivel [R$/mês]</t>
  </si>
  <si>
    <t>Gastos com mão de obra + encargos [R$/mês.operador]</t>
  </si>
  <si>
    <t>Número de operadores necessários</t>
  </si>
  <si>
    <t>Gastos com mão de obra direta (operador) [R$/hora produtiva]</t>
  </si>
  <si>
    <t>D) Custos indiretos (manutenção)</t>
  </si>
  <si>
    <t xml:space="preserve">Gastos com manutenção preventiva efetiva média [R$/mês] </t>
  </si>
  <si>
    <t>Gastos com manutenção corretiva efetiva média [R$/mês]</t>
  </si>
  <si>
    <t>Gastos com manutenção da operação [R$/mês]</t>
  </si>
  <si>
    <t>Gasto médio com lubrificante e filtro [R$/mês]</t>
  </si>
  <si>
    <t>Gastos com manutenção preventiva  por hora</t>
  </si>
  <si>
    <t>Gasto médio com lubrificante e filtro  por hora</t>
  </si>
  <si>
    <t>Gastos com manutenção corretiva por hora</t>
  </si>
  <si>
    <t>Gastos com manutenção da operação  por hora</t>
  </si>
  <si>
    <t>custo diário</t>
  </si>
  <si>
    <t>28,42 x 15</t>
  </si>
  <si>
    <t>custo anual</t>
  </si>
  <si>
    <t>28,42 x 15 x 280</t>
  </si>
  <si>
    <t>custo mensal</t>
  </si>
  <si>
    <t>28,42 x 15 x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</si>
</sst>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0" fillId="2" borderId="0" xfId="0" applyFill="1"/>
    <xf numFmtId="3" fontId="0" fillId="2" borderId="0" xfId="0" applyNumberFormat="1" applyFill="1"/>
    <xf numFmtId="9" fontId="0" fillId="2" borderId="0" xfId="0" applyNumberFormat="1" applyFill="1"/>
    <xf numFmtId="44" fontId="0" fillId="2" borderId="0" xfId="1" applyFont="1" applyFill="1"/>
    <xf numFmtId="44" fontId="1" fillId="2" borderId="0" xfId="1" applyFont="1" applyFill="1"/>
    <xf numFmtId="0" fontId="3" fillId="0" borderId="0" xfId="0" applyFont="1"/>
    <xf numFmtId="44" fontId="0" fillId="0" borderId="0" xfId="0" applyNumberFormat="1"/>
    <xf numFmtId="44" fontId="0" fillId="3" borderId="0" xfId="0" applyNumberFormat="1" applyFill="1"/>
    <xf numFmtId="44" fontId="2" fillId="3" borderId="0" xfId="0" applyNumberFormat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B3EA4-67AB-4CE7-B88A-E5CC8C857C6E}">
  <dimension ref="A1:G34"/>
  <sheetViews>
    <sheetView tabSelected="1" topLeftCell="A16" zoomScale="150" zoomScaleNormal="150" workbookViewId="0">
      <selection activeCell="A20" sqref="A20"/>
    </sheetView>
  </sheetViews>
  <sheetFormatPr defaultRowHeight="15" x14ac:dyDescent="0.25"/>
  <cols>
    <col min="1" max="1" width="54" customWidth="1"/>
    <col min="2" max="2" width="13.28515625" bestFit="1" customWidth="1"/>
    <col min="3" max="3" width="9.28515625" customWidth="1"/>
    <col min="4" max="4" width="27.42578125" customWidth="1"/>
    <col min="5" max="5" width="17.140625" customWidth="1"/>
    <col min="6" max="6" width="17.85546875" customWidth="1"/>
    <col min="7" max="7" width="23.5703125" customWidth="1"/>
  </cols>
  <sheetData>
    <row r="1" spans="1:7" x14ac:dyDescent="0.25">
      <c r="A1" s="1" t="s">
        <v>0</v>
      </c>
    </row>
    <row r="2" spans="1:7" x14ac:dyDescent="0.25">
      <c r="A2" t="s">
        <v>1</v>
      </c>
      <c r="B2" s="2">
        <v>5</v>
      </c>
      <c r="F2" s="2"/>
      <c r="G2" s="7" t="s">
        <v>3</v>
      </c>
    </row>
    <row r="3" spans="1:7" x14ac:dyDescent="0.25">
      <c r="A3" t="s">
        <v>2</v>
      </c>
      <c r="B3" s="3">
        <v>21000</v>
      </c>
      <c r="D3" t="s">
        <v>19</v>
      </c>
    </row>
    <row r="4" spans="1:7" x14ac:dyDescent="0.25">
      <c r="A4" t="s">
        <v>4</v>
      </c>
      <c r="B4" s="4">
        <v>0.12</v>
      </c>
      <c r="D4" s="10">
        <f>SUM(B9,B13,B16,B21,B24,B28,B30,B32,B34)</f>
        <v>28.423809523809524</v>
      </c>
    </row>
    <row r="5" spans="1:7" x14ac:dyDescent="0.25">
      <c r="A5" t="s">
        <v>5</v>
      </c>
      <c r="B5" s="2">
        <v>15</v>
      </c>
    </row>
    <row r="6" spans="1:7" x14ac:dyDescent="0.25">
      <c r="A6" t="s">
        <v>6</v>
      </c>
      <c r="B6" s="2">
        <v>280</v>
      </c>
      <c r="D6" s="8">
        <f>D4*B5</f>
        <v>426.35714285714289</v>
      </c>
      <c r="E6" t="s">
        <v>34</v>
      </c>
      <c r="F6" t="s">
        <v>35</v>
      </c>
    </row>
    <row r="7" spans="1:7" x14ac:dyDescent="0.25">
      <c r="D7" s="8">
        <f>D4*B5*20</f>
        <v>8527.1428571428587</v>
      </c>
      <c r="E7" t="s">
        <v>38</v>
      </c>
      <c r="F7" t="s">
        <v>39</v>
      </c>
    </row>
    <row r="8" spans="1:7" x14ac:dyDescent="0.25">
      <c r="A8" s="1" t="s">
        <v>7</v>
      </c>
      <c r="D8" s="8">
        <f>D4*B5*B6</f>
        <v>119380.00000000001</v>
      </c>
      <c r="E8" t="s">
        <v>36</v>
      </c>
      <c r="F8" t="s">
        <v>37</v>
      </c>
    </row>
    <row r="9" spans="1:7" x14ac:dyDescent="0.25">
      <c r="A9" t="s">
        <v>8</v>
      </c>
      <c r="B9" s="9">
        <f>(B10+B12-B11)/B3</f>
        <v>2.9523809523809526</v>
      </c>
      <c r="C9" t="s">
        <v>13</v>
      </c>
    </row>
    <row r="10" spans="1:7" x14ac:dyDescent="0.25">
      <c r="A10" t="s">
        <v>9</v>
      </c>
      <c r="B10" s="6">
        <v>80000</v>
      </c>
    </row>
    <row r="11" spans="1:7" x14ac:dyDescent="0.25">
      <c r="A11" t="s">
        <v>10</v>
      </c>
      <c r="B11" s="6">
        <v>20000</v>
      </c>
    </row>
    <row r="12" spans="1:7" x14ac:dyDescent="0.25">
      <c r="A12" t="s">
        <v>11</v>
      </c>
      <c r="B12" s="5">
        <v>2000</v>
      </c>
    </row>
    <row r="13" spans="1:7" x14ac:dyDescent="0.25">
      <c r="A13" t="s">
        <v>12</v>
      </c>
      <c r="B13" s="9">
        <f>(B10*B4)/(B5*B6)</f>
        <v>2.2857142857142856</v>
      </c>
      <c r="C13" t="s">
        <v>13</v>
      </c>
    </row>
    <row r="15" spans="1:7" x14ac:dyDescent="0.25">
      <c r="A15" s="1" t="s">
        <v>14</v>
      </c>
    </row>
    <row r="16" spans="1:7" x14ac:dyDescent="0.25">
      <c r="A16" t="s">
        <v>15</v>
      </c>
      <c r="B16" s="9">
        <f>(B17*B18)/1400</f>
        <v>2.2857142857142856</v>
      </c>
      <c r="C16" t="s">
        <v>13</v>
      </c>
    </row>
    <row r="17" spans="1:3" x14ac:dyDescent="0.25">
      <c r="A17" t="s">
        <v>16</v>
      </c>
      <c r="B17" s="5">
        <v>800</v>
      </c>
    </row>
    <row r="18" spans="1:3" x14ac:dyDescent="0.25">
      <c r="A18" t="s">
        <v>17</v>
      </c>
      <c r="B18" s="2">
        <v>4</v>
      </c>
    </row>
    <row r="19" spans="1:3" x14ac:dyDescent="0.25">
      <c r="A19" t="s">
        <v>18</v>
      </c>
      <c r="B19" s="2">
        <v>1400</v>
      </c>
    </row>
    <row r="20" spans="1:3" x14ac:dyDescent="0.25">
      <c r="A20" t="s">
        <v>21</v>
      </c>
      <c r="B20" s="5">
        <v>1300</v>
      </c>
    </row>
    <row r="21" spans="1:3" x14ac:dyDescent="0.25">
      <c r="A21" t="s">
        <v>20</v>
      </c>
      <c r="B21" s="9">
        <f>B20/(B5*20)</f>
        <v>4.333333333333333</v>
      </c>
      <c r="C21" t="s">
        <v>13</v>
      </c>
    </row>
    <row r="22" spans="1:3" x14ac:dyDescent="0.25">
      <c r="A22" t="s">
        <v>22</v>
      </c>
      <c r="B22" s="5">
        <v>1850</v>
      </c>
    </row>
    <row r="23" spans="1:3" x14ac:dyDescent="0.25">
      <c r="A23" t="s">
        <v>23</v>
      </c>
      <c r="B23" s="2">
        <v>2</v>
      </c>
    </row>
    <row r="24" spans="1:3" x14ac:dyDescent="0.25">
      <c r="A24" t="s">
        <v>24</v>
      </c>
      <c r="B24" s="9">
        <f>(B22*B23)/(B5*20)</f>
        <v>12.333333333333334</v>
      </c>
      <c r="C24" t="s">
        <v>13</v>
      </c>
    </row>
    <row r="26" spans="1:3" x14ac:dyDescent="0.25">
      <c r="A26" s="1" t="s">
        <v>25</v>
      </c>
    </row>
    <row r="27" spans="1:3" x14ac:dyDescent="0.25">
      <c r="A27" t="s">
        <v>26</v>
      </c>
      <c r="B27" s="5">
        <v>450</v>
      </c>
    </row>
    <row r="28" spans="1:3" x14ac:dyDescent="0.25">
      <c r="A28" t="s">
        <v>30</v>
      </c>
      <c r="B28" s="9">
        <f>B27/(B5*20)</f>
        <v>1.5</v>
      </c>
      <c r="C28" t="s">
        <v>13</v>
      </c>
    </row>
    <row r="29" spans="1:3" x14ac:dyDescent="0.25">
      <c r="A29" t="s">
        <v>29</v>
      </c>
      <c r="B29" s="5">
        <v>220</v>
      </c>
    </row>
    <row r="30" spans="1:3" x14ac:dyDescent="0.25">
      <c r="A30" t="s">
        <v>31</v>
      </c>
      <c r="B30" s="9">
        <f>B29/(B5*20)</f>
        <v>0.73333333333333328</v>
      </c>
      <c r="C30" t="s">
        <v>13</v>
      </c>
    </row>
    <row r="31" spans="1:3" x14ac:dyDescent="0.25">
      <c r="A31" t="s">
        <v>27</v>
      </c>
      <c r="B31" s="5">
        <v>250</v>
      </c>
    </row>
    <row r="32" spans="1:3" x14ac:dyDescent="0.25">
      <c r="A32" t="s">
        <v>32</v>
      </c>
      <c r="B32" s="9">
        <f>B31/(B5*20)</f>
        <v>0.83333333333333337</v>
      </c>
      <c r="C32" t="s">
        <v>13</v>
      </c>
    </row>
    <row r="33" spans="1:3" x14ac:dyDescent="0.25">
      <c r="A33" t="s">
        <v>28</v>
      </c>
      <c r="B33" s="5">
        <v>350</v>
      </c>
    </row>
    <row r="34" spans="1:3" x14ac:dyDescent="0.25">
      <c r="A34" t="s">
        <v>33</v>
      </c>
      <c r="B34" s="9">
        <f>B33/(B5*20)</f>
        <v>1.1666666666666667</v>
      </c>
      <c r="C34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Pereira</dc:creator>
  <cp:lastModifiedBy>Leandro Pereira</cp:lastModifiedBy>
  <dcterms:created xsi:type="dcterms:W3CDTF">2025-11-28T01:23:47Z</dcterms:created>
  <dcterms:modified xsi:type="dcterms:W3CDTF">2025-11-27T23:48:32Z</dcterms:modified>
</cp:coreProperties>
</file>